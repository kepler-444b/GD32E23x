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pler\Desktop\"/>
    </mc:Choice>
  </mc:AlternateContent>
  <xr:revisionPtr revIDLastSave="0" documentId="13_ncr:1_{F186A5C5-E967-4CEE-A541-139CFCEB2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10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</calcChain>
</file>

<file path=xl/sharedStrings.xml><?xml version="1.0" encoding="utf-8"?>
<sst xmlns="http://schemas.openxmlformats.org/spreadsheetml/2006/main" count="5" uniqueCount="5">
  <si>
    <t>市电230V</t>
    <phoneticPr fontId="1" type="noConversion"/>
  </si>
  <si>
    <t>将每个零点之间的10ms分为1000份作为导通时间</t>
    <phoneticPr fontId="1" type="noConversion"/>
  </si>
  <si>
    <t>导通时间</t>
    <phoneticPr fontId="1" type="noConversion"/>
  </si>
  <si>
    <t>测得电压V</t>
    <phoneticPr fontId="1" type="noConversion"/>
  </si>
  <si>
    <t>实际测得的曲线与理论公式曲线类似，但是从200~800之间是接近线性关系。
故而可控硅调光使用这一段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</si>
</sst>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理论公式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Sheet1!$J$5:$J$104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Sheet1!$K$5:$K$104</c:f>
              <c:numCache>
                <c:formatCode>General</c:formatCode>
                <c:ptCount val="100"/>
                <c:pt idx="0">
                  <c:v>0.58991469648073269</c:v>
                </c:pt>
                <c:pt idx="1">
                  <c:v>1.6680367581954634</c:v>
                </c:pt>
                <c:pt idx="2">
                  <c:v>3.0628672676160833</c:v>
                </c:pt>
                <c:pt idx="3">
                  <c:v>4.7123355147475801</c:v>
                </c:pt>
                <c:pt idx="4">
                  <c:v>6.5798407309168896</c:v>
                </c:pt>
                <c:pt idx="5">
                  <c:v>8.6400373761101612</c:v>
                </c:pt>
                <c:pt idx="6">
                  <c:v>10.873725451670307</c:v>
                </c:pt>
                <c:pt idx="7">
                  <c:v>13.265480873386656</c:v>
                </c:pt>
                <c:pt idx="8">
                  <c:v>15.802384187851858</c:v>
                </c:pt>
                <c:pt idx="9">
                  <c:v>18.47326957411979</c:v>
                </c:pt>
                <c:pt idx="10">
                  <c:v>21.268249592919535</c:v>
                </c:pt>
                <c:pt idx="11">
                  <c:v>24.178398501870831</c:v>
                </c:pt>
                <c:pt idx="12">
                  <c:v>27.195532613843369</c:v>
                </c:pt>
                <c:pt idx="13">
                  <c:v>30.312053047217574</c:v>
                </c:pt>
                <c:pt idx="14">
                  <c:v>33.520830229330542</c:v>
                </c:pt>
                <c:pt idx="15">
                  <c:v>36.815117286005496</c:v>
                </c:pt>
                <c:pt idx="16">
                  <c:v>40.188483983942646</c:v>
                </c:pt>
                <c:pt idx="17">
                  <c:v>43.634765652089577</c:v>
                </c:pt>
                <c:pt idx="18">
                  <c:v>47.148023248959625</c:v>
                </c:pt>
                <c:pt idx="19">
                  <c:v>50.722511875713032</c:v>
                </c:pt>
                <c:pt idx="20">
                  <c:v>54.352655792164974</c:v>
                </c:pt>
                <c:pt idx="21">
                  <c:v>58.033028511350039</c:v>
                </c:pt>
                <c:pt idx="22">
                  <c:v>61.758336910743438</c:v>
                </c:pt>
                <c:pt idx="23">
                  <c:v>65.523408556450576</c:v>
                </c:pt>
                <c:pt idx="24">
                  <c:v>69.323181623745</c:v>
                </c:pt>
                <c:pt idx="25">
                  <c:v>73.152696934942469</c:v>
                </c:pt>
                <c:pt idx="26">
                  <c:v>77.007091738234706</c:v>
                </c:pt>
                <c:pt idx="27">
                  <c:v>80.881594928631117</c:v>
                </c:pt>
                <c:pt idx="28">
                  <c:v>84.771523471396705</c:v>
                </c:pt>
                <c:pt idx="29">
                  <c:v>88.672279834127693</c:v>
                </c:pt>
                <c:pt idx="30">
                  <c:v>92.579350269292974</c:v>
                </c:pt>
                <c:pt idx="31">
                  <c:v>96.488303817161054</c:v>
                </c:pt>
                <c:pt idx="32">
                  <c:v>100.39479192133233</c:v>
                </c:pt>
                <c:pt idx="33">
                  <c:v>104.29454856694255</c:v>
                </c:pt>
                <c:pt idx="34">
                  <c:v>108.18339086599015</c:v>
                </c:pt>
                <c:pt idx="35">
                  <c:v>112.05722002591949</c:v>
                </c:pt>
                <c:pt idx="36">
                  <c:v>115.91202264713793</c:v>
                </c:pt>
                <c:pt idx="37">
                  <c:v>119.74387230299207</c:v>
                </c:pt>
                <c:pt idx="38">
                  <c:v>123.54893136222071</c:v>
                </c:pt>
                <c:pt idx="39">
                  <c:v>127.32345301930081</c:v>
                </c:pt>
                <c:pt idx="40">
                  <c:v>131.06378350261551</c:v>
                </c:pt>
                <c:pt idx="41">
                  <c:v>134.76636443416504</c:v>
                </c:pt>
                <c:pt idx="42">
                  <c:v>138.42773531774006</c:v>
                </c:pt>
                <c:pt idx="43">
                  <c:v>142.04453613518746</c:v>
                </c:pt>
                <c:pt idx="44">
                  <c:v>145.61351003270349</c:v>
                </c:pt>
                <c:pt idx="45">
                  <c:v>149.13150608105437</c:v>
                </c:pt>
                <c:pt idx="46">
                  <c:v>152.59548209530658</c:v>
                </c:pt>
                <c:pt idx="47">
                  <c:v>156.00250750108694</c:v>
                </c:pt>
                <c:pt idx="48">
                  <c:v>159.34976623562747</c:v>
                </c:pt>
                <c:pt idx="49">
                  <c:v>162.63455967290594</c:v>
                </c:pt>
                <c:pt idx="50">
                  <c:v>165.8543095630948</c:v>
                </c:pt>
                <c:pt idx="51">
                  <c:v>169.00656097729845</c:v>
                </c:pt>
                <c:pt idx="52">
                  <c:v>172.08898524920463</c:v>
                </c:pt>
                <c:pt idx="53">
                  <c:v>175.0993829058128</c:v>
                </c:pt>
                <c:pt idx="54">
                  <c:v>178.03568657984209</c:v>
                </c:pt>
                <c:pt idx="55">
                  <c:v>180.89596389676421</c:v>
                </c:pt>
                <c:pt idx="56">
                  <c:v>183.67842032966664</c:v>
                </c:pt>
                <c:pt idx="57">
                  <c:v>186.38140201532397</c:v>
                </c:pt>
                <c:pt idx="58">
                  <c:v>189.00339852494591</c:v>
                </c:pt>
                <c:pt idx="59">
                  <c:v>191.54304558308007</c:v>
                </c:pt>
                <c:pt idx="60">
                  <c:v>193.99912772807326</c:v>
                </c:pt>
                <c:pt idx="61">
                  <c:v>196.37058090733635</c:v>
                </c:pt>
                <c:pt idx="62">
                  <c:v>198.65649500041368</c:v>
                </c:pt>
                <c:pt idx="63">
                  <c:v>200.85611626251929</c:v>
                </c:pt>
                <c:pt idx="64">
                  <c:v>202.96884968077342</c:v>
                </c:pt>
                <c:pt idx="65">
                  <c:v>204.9942612348396</c:v>
                </c:pt>
                <c:pt idx="66">
                  <c:v>206.93208005302705</c:v>
                </c:pt>
                <c:pt idx="67">
                  <c:v>208.78220045417478</c:v>
                </c:pt>
                <c:pt idx="68">
                  <c:v>210.5446838647691</c:v>
                </c:pt>
                <c:pt idx="69">
                  <c:v>212.21976059975697</c:v>
                </c:pt>
                <c:pt idx="70">
                  <c:v>213.8078314944016</c:v>
                </c:pt>
                <c:pt idx="71">
                  <c:v>215.30946937327406</c:v>
                </c:pt>
                <c:pt idx="72">
                  <c:v>216.72542034108298</c:v>
                </c:pt>
                <c:pt idx="73">
                  <c:v>218.05660487851421</c:v>
                </c:pt>
                <c:pt idx="74">
                  <c:v>219.30411872457219</c:v>
                </c:pt>
                <c:pt idx="75">
                  <c:v>220.46923352509859</c:v>
                </c:pt>
                <c:pt idx="76">
                  <c:v>221.55339722518158</c:v>
                </c:pt>
                <c:pt idx="77">
                  <c:v>222.55823418108088</c:v>
                </c:pt>
                <c:pt idx="78">
                  <c:v>223.48554496507921</c:v>
                </c:pt>
                <c:pt idx="79">
                  <c:v>224.33730583435772</c:v>
                </c:pt>
                <c:pt idx="80">
                  <c:v>225.1156678325957</c:v>
                </c:pt>
                <c:pt idx="81">
                  <c:v>225.82295549055067</c:v>
                </c:pt>
                <c:pt idx="82">
                  <c:v>226.46166508941948</c:v>
                </c:pt>
                <c:pt idx="83">
                  <c:v>227.03446244836411</c:v>
                </c:pt>
                <c:pt idx="84">
                  <c:v>227.54418019526759</c:v>
                </c:pt>
                <c:pt idx="85">
                  <c:v>227.99381447763594</c:v>
                </c:pt>
                <c:pt idx="86">
                  <c:v>228.38652106866854</c:v>
                </c:pt>
                <c:pt idx="87">
                  <c:v>228.72561082197316</c:v>
                </c:pt>
                <c:pt idx="88">
                  <c:v>229.01454442732077</c:v>
                </c:pt>
                <c:pt idx="89">
                  <c:v>229.25692641933833</c:v>
                </c:pt>
                <c:pt idx="90">
                  <c:v>229.45649839126267</c:v>
                </c:pt>
                <c:pt idx="91">
                  <c:v>229.61713136697318</c:v>
                </c:pt>
                <c:pt idx="92">
                  <c:v>229.74281728663837</c:v>
                </c:pt>
                <c:pt idx="93">
                  <c:v>229.83765956461403</c:v>
                </c:pt>
                <c:pt idx="94">
                  <c:v>229.90586268287237</c:v>
                </c:pt>
                <c:pt idx="95">
                  <c:v>229.95172078937884</c:v>
                </c:pt>
                <c:pt idx="96">
                  <c:v>229.97960527860067</c:v>
                </c:pt>
                <c:pt idx="97">
                  <c:v>229.99395134084136</c:v>
                </c:pt>
                <c:pt idx="98">
                  <c:v>229.99924347843162</c:v>
                </c:pt>
                <c:pt idx="99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D-4C95-91E9-027AA57F0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19200"/>
        <c:axId val="1878254736"/>
      </c:scatterChart>
      <c:valAx>
        <c:axId val="13027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8254736"/>
        <c:crosses val="autoZero"/>
        <c:crossBetween val="midCat"/>
      </c:valAx>
      <c:valAx>
        <c:axId val="187825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271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实际测得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Sheet1!$A$5:$A$24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</c:numCache>
            </c:numRef>
          </c:xVal>
          <c:yVal>
            <c:numRef>
              <c:f>Sheet1!$B$5:$B$24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22</c:v>
                </c:pt>
                <c:pt idx="3">
                  <c:v>32</c:v>
                </c:pt>
                <c:pt idx="4">
                  <c:v>47</c:v>
                </c:pt>
                <c:pt idx="5">
                  <c:v>65</c:v>
                </c:pt>
                <c:pt idx="6">
                  <c:v>83</c:v>
                </c:pt>
                <c:pt idx="7">
                  <c:v>102</c:v>
                </c:pt>
                <c:pt idx="8">
                  <c:v>119</c:v>
                </c:pt>
                <c:pt idx="9">
                  <c:v>136</c:v>
                </c:pt>
                <c:pt idx="10">
                  <c:v>153</c:v>
                </c:pt>
                <c:pt idx="11">
                  <c:v>169</c:v>
                </c:pt>
                <c:pt idx="12">
                  <c:v>185</c:v>
                </c:pt>
                <c:pt idx="13">
                  <c:v>198</c:v>
                </c:pt>
                <c:pt idx="14">
                  <c:v>208</c:v>
                </c:pt>
                <c:pt idx="15">
                  <c:v>215</c:v>
                </c:pt>
                <c:pt idx="16">
                  <c:v>221</c:v>
                </c:pt>
                <c:pt idx="17">
                  <c:v>225</c:v>
                </c:pt>
                <c:pt idx="18">
                  <c:v>227</c:v>
                </c:pt>
                <c:pt idx="19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8-46A0-BDAB-496ACFCD9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02496"/>
        <c:axId val="1878209136"/>
      </c:scatterChart>
      <c:valAx>
        <c:axId val="130270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8209136"/>
        <c:crosses val="autoZero"/>
        <c:crossBetween val="midCat"/>
      </c:valAx>
      <c:valAx>
        <c:axId val="18782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270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4</xdr:row>
      <xdr:rowOff>19050</xdr:rowOff>
    </xdr:from>
    <xdr:to>
      <xdr:col>17</xdr:col>
      <xdr:colOff>581025</xdr:colOff>
      <xdr:row>19</xdr:row>
      <xdr:rowOff>47625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3BA20E0-DA2F-717D-0195-003D612D5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4</xdr:row>
      <xdr:rowOff>47625</xdr:rowOff>
    </xdr:from>
    <xdr:to>
      <xdr:col>8</xdr:col>
      <xdr:colOff>495300</xdr:colOff>
      <xdr:row>19</xdr:row>
      <xdr:rowOff>76200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977E0FD-F54F-8719-EEE0-88CF115A3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zoomScaleNormal="100" workbookViewId="0">
      <selection activeCell="K9" sqref="K9"/>
    </sheetView>
  </sheetViews>
  <sheetFormatPr defaultRowHeight="14.25" x14ac:dyDescent="0.2"/>
  <sheetData>
    <row r="1" spans="1:11" x14ac:dyDescent="0.2">
      <c r="A1" s="2" t="s">
        <v>0</v>
      </c>
      <c r="B1" s="2"/>
      <c r="C1" s="2"/>
      <c r="D1" s="2"/>
      <c r="E1" s="2"/>
    </row>
    <row r="2" spans="1:11" x14ac:dyDescent="0.2">
      <c r="A2" s="3" t="s">
        <v>1</v>
      </c>
      <c r="B2" s="3"/>
      <c r="C2" s="3"/>
      <c r="D2" s="3"/>
      <c r="E2" s="3"/>
    </row>
    <row r="3" spans="1:11" x14ac:dyDescent="0.2">
      <c r="A3" s="1"/>
      <c r="B3" s="1"/>
      <c r="C3" s="1"/>
      <c r="D3" s="1"/>
      <c r="E3" s="1"/>
    </row>
    <row r="4" spans="1:11" x14ac:dyDescent="0.2">
      <c r="A4" t="s">
        <v>2</v>
      </c>
      <c r="B4" t="s">
        <v>3</v>
      </c>
    </row>
    <row r="5" spans="1:11" x14ac:dyDescent="0.2">
      <c r="A5">
        <v>50</v>
      </c>
      <c r="B5">
        <v>15</v>
      </c>
      <c r="J5">
        <v>10</v>
      </c>
      <c r="K5" s="4">
        <f>230*SQRT(MAX(0, J5/1000 - SIN(2*PI()*J5/1000)/(2*PI())))</f>
        <v>0.58991469648073269</v>
      </c>
    </row>
    <row r="6" spans="1:11" x14ac:dyDescent="0.2">
      <c r="A6">
        <v>100</v>
      </c>
      <c r="B6">
        <v>16</v>
      </c>
      <c r="J6">
        <v>20</v>
      </c>
      <c r="K6" s="4">
        <f t="shared" ref="K6:K69" si="0">230*SQRT(MAX(0, J6/1000 - SIN(2*PI()*J6/1000)/(2*PI())))</f>
        <v>1.6680367581954634</v>
      </c>
    </row>
    <row r="7" spans="1:11" x14ac:dyDescent="0.2">
      <c r="A7">
        <v>150</v>
      </c>
      <c r="B7">
        <v>22</v>
      </c>
      <c r="J7">
        <v>30</v>
      </c>
      <c r="K7" s="4">
        <f t="shared" si="0"/>
        <v>3.0628672676160833</v>
      </c>
    </row>
    <row r="8" spans="1:11" x14ac:dyDescent="0.2">
      <c r="A8">
        <v>200</v>
      </c>
      <c r="B8">
        <v>32</v>
      </c>
      <c r="J8">
        <v>40</v>
      </c>
      <c r="K8" s="4">
        <f t="shared" si="0"/>
        <v>4.7123355147475801</v>
      </c>
    </row>
    <row r="9" spans="1:11" x14ac:dyDescent="0.2">
      <c r="A9">
        <v>250</v>
      </c>
      <c r="B9">
        <v>47</v>
      </c>
      <c r="J9">
        <v>50</v>
      </c>
      <c r="K9" s="4">
        <f t="shared" si="0"/>
        <v>6.5798407309168896</v>
      </c>
    </row>
    <row r="10" spans="1:11" x14ac:dyDescent="0.2">
      <c r="A10">
        <v>300</v>
      </c>
      <c r="B10">
        <v>65</v>
      </c>
      <c r="J10">
        <v>60</v>
      </c>
      <c r="K10" s="4">
        <f>230*SQRT(MAX(0, J10/1000 - SIN(2*PI()*J10/1000)/(2*PI())))</f>
        <v>8.6400373761101612</v>
      </c>
    </row>
    <row r="11" spans="1:11" x14ac:dyDescent="0.2">
      <c r="A11">
        <v>350</v>
      </c>
      <c r="B11">
        <v>83</v>
      </c>
      <c r="J11">
        <v>70</v>
      </c>
      <c r="K11" s="4">
        <f t="shared" si="0"/>
        <v>10.873725451670307</v>
      </c>
    </row>
    <row r="12" spans="1:11" x14ac:dyDescent="0.2">
      <c r="A12">
        <v>400</v>
      </c>
      <c r="B12">
        <v>102</v>
      </c>
      <c r="J12">
        <v>80</v>
      </c>
      <c r="K12" s="4">
        <f t="shared" si="0"/>
        <v>13.265480873386656</v>
      </c>
    </row>
    <row r="13" spans="1:11" x14ac:dyDescent="0.2">
      <c r="A13">
        <v>450</v>
      </c>
      <c r="B13">
        <v>119</v>
      </c>
      <c r="J13">
        <v>90</v>
      </c>
      <c r="K13" s="4">
        <f t="shared" si="0"/>
        <v>15.802384187851858</v>
      </c>
    </row>
    <row r="14" spans="1:11" x14ac:dyDescent="0.2">
      <c r="A14">
        <v>500</v>
      </c>
      <c r="B14">
        <v>136</v>
      </c>
      <c r="J14">
        <v>100</v>
      </c>
      <c r="K14" s="4">
        <f t="shared" si="0"/>
        <v>18.47326957411979</v>
      </c>
    </row>
    <row r="15" spans="1:11" x14ac:dyDescent="0.2">
      <c r="A15">
        <v>550</v>
      </c>
      <c r="B15">
        <v>153</v>
      </c>
      <c r="J15">
        <v>110</v>
      </c>
      <c r="K15" s="4">
        <f t="shared" si="0"/>
        <v>21.268249592919535</v>
      </c>
    </row>
    <row r="16" spans="1:11" x14ac:dyDescent="0.2">
      <c r="A16">
        <v>600</v>
      </c>
      <c r="B16">
        <v>169</v>
      </c>
      <c r="J16">
        <v>120</v>
      </c>
      <c r="K16" s="4">
        <f t="shared" si="0"/>
        <v>24.178398501870831</v>
      </c>
    </row>
    <row r="17" spans="1:11" x14ac:dyDescent="0.2">
      <c r="A17">
        <v>650</v>
      </c>
      <c r="B17">
        <v>185</v>
      </c>
      <c r="J17">
        <v>130</v>
      </c>
      <c r="K17" s="4">
        <f t="shared" si="0"/>
        <v>27.195532613843369</v>
      </c>
    </row>
    <row r="18" spans="1:11" x14ac:dyDescent="0.2">
      <c r="A18">
        <v>700</v>
      </c>
      <c r="B18">
        <v>198</v>
      </c>
      <c r="J18">
        <v>140</v>
      </c>
      <c r="K18" s="4">
        <f t="shared" si="0"/>
        <v>30.312053047217574</v>
      </c>
    </row>
    <row r="19" spans="1:11" x14ac:dyDescent="0.2">
      <c r="A19">
        <v>750</v>
      </c>
      <c r="B19">
        <v>208</v>
      </c>
      <c r="J19">
        <v>150</v>
      </c>
      <c r="K19" s="4">
        <f t="shared" si="0"/>
        <v>33.520830229330542</v>
      </c>
    </row>
    <row r="20" spans="1:11" x14ac:dyDescent="0.2">
      <c r="A20">
        <v>800</v>
      </c>
      <c r="B20">
        <v>215</v>
      </c>
      <c r="J20">
        <v>160</v>
      </c>
      <c r="K20" s="4">
        <f t="shared" si="0"/>
        <v>36.815117286005496</v>
      </c>
    </row>
    <row r="21" spans="1:11" x14ac:dyDescent="0.2">
      <c r="A21">
        <v>850</v>
      </c>
      <c r="B21">
        <v>221</v>
      </c>
      <c r="J21">
        <v>170</v>
      </c>
      <c r="K21" s="4">
        <f t="shared" si="0"/>
        <v>40.188483983942646</v>
      </c>
    </row>
    <row r="22" spans="1:11" x14ac:dyDescent="0.2">
      <c r="A22">
        <v>900</v>
      </c>
      <c r="B22">
        <v>225</v>
      </c>
      <c r="J22">
        <v>180</v>
      </c>
      <c r="K22" s="4">
        <f t="shared" si="0"/>
        <v>43.634765652089577</v>
      </c>
    </row>
    <row r="23" spans="1:11" x14ac:dyDescent="0.2">
      <c r="A23">
        <v>950</v>
      </c>
      <c r="B23">
        <v>227</v>
      </c>
      <c r="J23">
        <v>190</v>
      </c>
      <c r="K23" s="4">
        <f t="shared" si="0"/>
        <v>47.148023248959625</v>
      </c>
    </row>
    <row r="24" spans="1:11" x14ac:dyDescent="0.2">
      <c r="A24">
        <v>1000</v>
      </c>
      <c r="B24">
        <v>228</v>
      </c>
      <c r="J24">
        <v>200</v>
      </c>
      <c r="K24" s="4">
        <f t="shared" si="0"/>
        <v>50.722511875713032</v>
      </c>
    </row>
    <row r="25" spans="1:11" x14ac:dyDescent="0.2">
      <c r="J25">
        <v>210</v>
      </c>
      <c r="K25" s="4">
        <f t="shared" si="0"/>
        <v>54.352655792164974</v>
      </c>
    </row>
    <row r="26" spans="1:11" x14ac:dyDescent="0.2">
      <c r="J26">
        <v>220</v>
      </c>
      <c r="K26" s="4">
        <f t="shared" si="0"/>
        <v>58.033028511350039</v>
      </c>
    </row>
    <row r="27" spans="1:11" x14ac:dyDescent="0.2">
      <c r="A27" s="5" t="s">
        <v>4</v>
      </c>
      <c r="B27" s="3"/>
      <c r="C27" s="3"/>
      <c r="D27" s="3"/>
      <c r="E27" s="3"/>
      <c r="F27" s="3"/>
      <c r="G27" s="3"/>
      <c r="H27" s="3"/>
      <c r="I27" s="3"/>
      <c r="J27">
        <v>230</v>
      </c>
      <c r="K27" s="4">
        <f t="shared" si="0"/>
        <v>61.758336910743438</v>
      </c>
    </row>
    <row r="28" spans="1:11" x14ac:dyDescent="0.2">
      <c r="A28" s="3"/>
      <c r="B28" s="3"/>
      <c r="C28" s="3"/>
      <c r="D28" s="3"/>
      <c r="E28" s="3"/>
      <c r="F28" s="3"/>
      <c r="G28" s="3"/>
      <c r="H28" s="3"/>
      <c r="I28" s="3"/>
      <c r="J28">
        <v>240</v>
      </c>
      <c r="K28" s="4">
        <f t="shared" si="0"/>
        <v>65.523408556450576</v>
      </c>
    </row>
    <row r="29" spans="1:11" x14ac:dyDescent="0.2">
      <c r="A29" s="3"/>
      <c r="B29" s="3"/>
      <c r="C29" s="3"/>
      <c r="D29" s="3"/>
      <c r="E29" s="3"/>
      <c r="F29" s="3"/>
      <c r="G29" s="3"/>
      <c r="H29" s="3"/>
      <c r="I29" s="3"/>
      <c r="J29">
        <v>250</v>
      </c>
      <c r="K29" s="4">
        <f t="shared" si="0"/>
        <v>69.323181623745</v>
      </c>
    </row>
    <row r="30" spans="1:11" x14ac:dyDescent="0.2">
      <c r="A30" s="3"/>
      <c r="B30" s="3"/>
      <c r="C30" s="3"/>
      <c r="D30" s="3"/>
      <c r="E30" s="3"/>
      <c r="F30" s="3"/>
      <c r="G30" s="3"/>
      <c r="H30" s="3"/>
      <c r="I30" s="3"/>
      <c r="J30">
        <v>260</v>
      </c>
      <c r="K30" s="4">
        <f t="shared" si="0"/>
        <v>73.152696934942469</v>
      </c>
    </row>
    <row r="31" spans="1:11" x14ac:dyDescent="0.2">
      <c r="J31">
        <v>270</v>
      </c>
      <c r="K31" s="4">
        <f t="shared" si="0"/>
        <v>77.007091738234706</v>
      </c>
    </row>
    <row r="32" spans="1:11" x14ac:dyDescent="0.2">
      <c r="J32">
        <v>280</v>
      </c>
      <c r="K32" s="4">
        <f t="shared" si="0"/>
        <v>80.881594928631117</v>
      </c>
    </row>
    <row r="33" spans="10:11" x14ac:dyDescent="0.2">
      <c r="J33">
        <v>290</v>
      </c>
      <c r="K33" s="4">
        <f t="shared" si="0"/>
        <v>84.771523471396705</v>
      </c>
    </row>
    <row r="34" spans="10:11" x14ac:dyDescent="0.2">
      <c r="J34">
        <v>300</v>
      </c>
      <c r="K34" s="4">
        <f t="shared" si="0"/>
        <v>88.672279834127693</v>
      </c>
    </row>
    <row r="35" spans="10:11" x14ac:dyDescent="0.2">
      <c r="J35">
        <v>310</v>
      </c>
      <c r="K35" s="4">
        <f t="shared" si="0"/>
        <v>92.579350269292974</v>
      </c>
    </row>
    <row r="36" spans="10:11" x14ac:dyDescent="0.2">
      <c r="J36">
        <v>320</v>
      </c>
      <c r="K36" s="4">
        <f t="shared" si="0"/>
        <v>96.488303817161054</v>
      </c>
    </row>
    <row r="37" spans="10:11" x14ac:dyDescent="0.2">
      <c r="J37">
        <v>330</v>
      </c>
      <c r="K37" s="4">
        <f t="shared" si="0"/>
        <v>100.39479192133233</v>
      </c>
    </row>
    <row r="38" spans="10:11" x14ac:dyDescent="0.2">
      <c r="J38">
        <v>340</v>
      </c>
      <c r="K38" s="4">
        <f t="shared" si="0"/>
        <v>104.29454856694255</v>
      </c>
    </row>
    <row r="39" spans="10:11" x14ac:dyDescent="0.2">
      <c r="J39">
        <v>350</v>
      </c>
      <c r="K39" s="4">
        <f t="shared" si="0"/>
        <v>108.18339086599015</v>
      </c>
    </row>
    <row r="40" spans="10:11" x14ac:dyDescent="0.2">
      <c r="J40">
        <v>360</v>
      </c>
      <c r="K40" s="4">
        <f t="shared" si="0"/>
        <v>112.05722002591949</v>
      </c>
    </row>
    <row r="41" spans="10:11" x14ac:dyDescent="0.2">
      <c r="J41">
        <v>370</v>
      </c>
      <c r="K41" s="4">
        <f t="shared" si="0"/>
        <v>115.91202264713793</v>
      </c>
    </row>
    <row r="42" spans="10:11" x14ac:dyDescent="0.2">
      <c r="J42">
        <v>380</v>
      </c>
      <c r="K42" s="4">
        <f t="shared" si="0"/>
        <v>119.74387230299207</v>
      </c>
    </row>
    <row r="43" spans="10:11" x14ac:dyDescent="0.2">
      <c r="J43">
        <v>390</v>
      </c>
      <c r="K43" s="4">
        <f t="shared" si="0"/>
        <v>123.54893136222071</v>
      </c>
    </row>
    <row r="44" spans="10:11" x14ac:dyDescent="0.2">
      <c r="J44">
        <v>400</v>
      </c>
      <c r="K44" s="4">
        <f t="shared" si="0"/>
        <v>127.32345301930081</v>
      </c>
    </row>
    <row r="45" spans="10:11" x14ac:dyDescent="0.2">
      <c r="J45">
        <v>410</v>
      </c>
      <c r="K45" s="4">
        <f t="shared" si="0"/>
        <v>131.06378350261551</v>
      </c>
    </row>
    <row r="46" spans="10:11" x14ac:dyDescent="0.2">
      <c r="J46">
        <v>420</v>
      </c>
      <c r="K46" s="4">
        <f t="shared" si="0"/>
        <v>134.76636443416504</v>
      </c>
    </row>
    <row r="47" spans="10:11" x14ac:dyDescent="0.2">
      <c r="J47">
        <v>430</v>
      </c>
      <c r="K47" s="4">
        <f t="shared" si="0"/>
        <v>138.42773531774006</v>
      </c>
    </row>
    <row r="48" spans="10:11" x14ac:dyDescent="0.2">
      <c r="J48">
        <v>440</v>
      </c>
      <c r="K48" s="4">
        <f t="shared" si="0"/>
        <v>142.04453613518746</v>
      </c>
    </row>
    <row r="49" spans="10:11" x14ac:dyDescent="0.2">
      <c r="J49">
        <v>450</v>
      </c>
      <c r="K49" s="4">
        <f t="shared" si="0"/>
        <v>145.61351003270349</v>
      </c>
    </row>
    <row r="50" spans="10:11" x14ac:dyDescent="0.2">
      <c r="J50">
        <v>460</v>
      </c>
      <c r="K50" s="4">
        <f t="shared" si="0"/>
        <v>149.13150608105437</v>
      </c>
    </row>
    <row r="51" spans="10:11" x14ac:dyDescent="0.2">
      <c r="J51">
        <v>470</v>
      </c>
      <c r="K51" s="4">
        <f t="shared" si="0"/>
        <v>152.59548209530658</v>
      </c>
    </row>
    <row r="52" spans="10:11" x14ac:dyDescent="0.2">
      <c r="J52">
        <v>480</v>
      </c>
      <c r="K52" s="4">
        <f t="shared" si="0"/>
        <v>156.00250750108694</v>
      </c>
    </row>
    <row r="53" spans="10:11" x14ac:dyDescent="0.2">
      <c r="J53">
        <v>490</v>
      </c>
      <c r="K53" s="4">
        <f t="shared" si="0"/>
        <v>159.34976623562747</v>
      </c>
    </row>
    <row r="54" spans="10:11" x14ac:dyDescent="0.2">
      <c r="J54">
        <v>500</v>
      </c>
      <c r="K54" s="4">
        <f t="shared" si="0"/>
        <v>162.63455967290594</v>
      </c>
    </row>
    <row r="55" spans="10:11" x14ac:dyDescent="0.2">
      <c r="J55">
        <v>510</v>
      </c>
      <c r="K55" s="4">
        <f t="shared" si="0"/>
        <v>165.8543095630948</v>
      </c>
    </row>
    <row r="56" spans="10:11" x14ac:dyDescent="0.2">
      <c r="J56">
        <v>520</v>
      </c>
      <c r="K56" s="4">
        <f t="shared" si="0"/>
        <v>169.00656097729845</v>
      </c>
    </row>
    <row r="57" spans="10:11" x14ac:dyDescent="0.2">
      <c r="J57">
        <v>530</v>
      </c>
      <c r="K57" s="4">
        <f t="shared" si="0"/>
        <v>172.08898524920463</v>
      </c>
    </row>
    <row r="58" spans="10:11" x14ac:dyDescent="0.2">
      <c r="J58">
        <v>540</v>
      </c>
      <c r="K58" s="4">
        <f t="shared" si="0"/>
        <v>175.0993829058128</v>
      </c>
    </row>
    <row r="59" spans="10:11" x14ac:dyDescent="0.2">
      <c r="J59">
        <v>550</v>
      </c>
      <c r="K59" s="4">
        <f t="shared" si="0"/>
        <v>178.03568657984209</v>
      </c>
    </row>
    <row r="60" spans="10:11" x14ac:dyDescent="0.2">
      <c r="J60">
        <v>560</v>
      </c>
      <c r="K60" s="4">
        <f t="shared" si="0"/>
        <v>180.89596389676421</v>
      </c>
    </row>
    <row r="61" spans="10:11" x14ac:dyDescent="0.2">
      <c r="J61">
        <v>570</v>
      </c>
      <c r="K61" s="4">
        <f t="shared" si="0"/>
        <v>183.67842032966664</v>
      </c>
    </row>
    <row r="62" spans="10:11" x14ac:dyDescent="0.2">
      <c r="J62">
        <v>580</v>
      </c>
      <c r="K62" s="4">
        <f t="shared" si="0"/>
        <v>186.38140201532397</v>
      </c>
    </row>
    <row r="63" spans="10:11" x14ac:dyDescent="0.2">
      <c r="J63">
        <v>590</v>
      </c>
      <c r="K63" s="4">
        <f t="shared" si="0"/>
        <v>189.00339852494591</v>
      </c>
    </row>
    <row r="64" spans="10:11" x14ac:dyDescent="0.2">
      <c r="J64">
        <v>600</v>
      </c>
      <c r="K64" s="4">
        <f t="shared" si="0"/>
        <v>191.54304558308007</v>
      </c>
    </row>
    <row r="65" spans="10:11" x14ac:dyDescent="0.2">
      <c r="J65">
        <v>610</v>
      </c>
      <c r="K65" s="4">
        <f t="shared" si="0"/>
        <v>193.99912772807326</v>
      </c>
    </row>
    <row r="66" spans="10:11" x14ac:dyDescent="0.2">
      <c r="J66">
        <v>620</v>
      </c>
      <c r="K66" s="4">
        <f t="shared" si="0"/>
        <v>196.37058090733635</v>
      </c>
    </row>
    <row r="67" spans="10:11" x14ac:dyDescent="0.2">
      <c r="J67">
        <v>630</v>
      </c>
      <c r="K67" s="4">
        <f t="shared" si="0"/>
        <v>198.65649500041368</v>
      </c>
    </row>
    <row r="68" spans="10:11" x14ac:dyDescent="0.2">
      <c r="J68">
        <v>640</v>
      </c>
      <c r="K68" s="4">
        <f t="shared" si="0"/>
        <v>200.85611626251929</v>
      </c>
    </row>
    <row r="69" spans="10:11" x14ac:dyDescent="0.2">
      <c r="J69">
        <v>650</v>
      </c>
      <c r="K69" s="4">
        <f t="shared" si="0"/>
        <v>202.96884968077342</v>
      </c>
    </row>
    <row r="70" spans="10:11" x14ac:dyDescent="0.2">
      <c r="J70">
        <v>660</v>
      </c>
      <c r="K70" s="4">
        <f t="shared" ref="K70:K104" si="1">230*SQRT(MAX(0, J70/1000 - SIN(2*PI()*J70/1000)/(2*PI())))</f>
        <v>204.9942612348396</v>
      </c>
    </row>
    <row r="71" spans="10:11" x14ac:dyDescent="0.2">
      <c r="J71">
        <v>670</v>
      </c>
      <c r="K71" s="4">
        <f t="shared" si="1"/>
        <v>206.93208005302705</v>
      </c>
    </row>
    <row r="72" spans="10:11" x14ac:dyDescent="0.2">
      <c r="J72">
        <v>680</v>
      </c>
      <c r="K72" s="4">
        <f t="shared" si="1"/>
        <v>208.78220045417478</v>
      </c>
    </row>
    <row r="73" spans="10:11" x14ac:dyDescent="0.2">
      <c r="J73">
        <v>690</v>
      </c>
      <c r="K73" s="4">
        <f t="shared" si="1"/>
        <v>210.5446838647691</v>
      </c>
    </row>
    <row r="74" spans="10:11" x14ac:dyDescent="0.2">
      <c r="J74">
        <v>700</v>
      </c>
      <c r="K74" s="4">
        <f t="shared" si="1"/>
        <v>212.21976059975697</v>
      </c>
    </row>
    <row r="75" spans="10:11" x14ac:dyDescent="0.2">
      <c r="J75">
        <v>710</v>
      </c>
      <c r="K75" s="4">
        <f t="shared" si="1"/>
        <v>213.8078314944016</v>
      </c>
    </row>
    <row r="76" spans="10:11" x14ac:dyDescent="0.2">
      <c r="J76">
        <v>720</v>
      </c>
      <c r="K76" s="4">
        <f t="shared" si="1"/>
        <v>215.30946937327406</v>
      </c>
    </row>
    <row r="77" spans="10:11" x14ac:dyDescent="0.2">
      <c r="J77">
        <v>730</v>
      </c>
      <c r="K77" s="4">
        <f t="shared" si="1"/>
        <v>216.72542034108298</v>
      </c>
    </row>
    <row r="78" spans="10:11" x14ac:dyDescent="0.2">
      <c r="J78">
        <v>740</v>
      </c>
      <c r="K78" s="4">
        <f t="shared" si="1"/>
        <v>218.05660487851421</v>
      </c>
    </row>
    <row r="79" spans="10:11" x14ac:dyDescent="0.2">
      <c r="J79">
        <v>750</v>
      </c>
      <c r="K79" s="4">
        <f t="shared" si="1"/>
        <v>219.30411872457219</v>
      </c>
    </row>
    <row r="80" spans="10:11" x14ac:dyDescent="0.2">
      <c r="J80">
        <v>760</v>
      </c>
      <c r="K80" s="4">
        <f t="shared" si="1"/>
        <v>220.46923352509859</v>
      </c>
    </row>
    <row r="81" spans="10:11" x14ac:dyDescent="0.2">
      <c r="J81">
        <v>770</v>
      </c>
      <c r="K81" s="4">
        <f t="shared" si="1"/>
        <v>221.55339722518158</v>
      </c>
    </row>
    <row r="82" spans="10:11" x14ac:dyDescent="0.2">
      <c r="J82">
        <v>780</v>
      </c>
      <c r="K82" s="4">
        <f t="shared" si="1"/>
        <v>222.55823418108088</v>
      </c>
    </row>
    <row r="83" spans="10:11" x14ac:dyDescent="0.2">
      <c r="J83">
        <v>790</v>
      </c>
      <c r="K83" s="4">
        <f t="shared" si="1"/>
        <v>223.48554496507921</v>
      </c>
    </row>
    <row r="84" spans="10:11" x14ac:dyDescent="0.2">
      <c r="J84">
        <v>800</v>
      </c>
      <c r="K84" s="4">
        <f t="shared" si="1"/>
        <v>224.33730583435772</v>
      </c>
    </row>
    <row r="85" spans="10:11" x14ac:dyDescent="0.2">
      <c r="J85">
        <v>810</v>
      </c>
      <c r="K85" s="4">
        <f t="shared" si="1"/>
        <v>225.1156678325957</v>
      </c>
    </row>
    <row r="86" spans="10:11" x14ac:dyDescent="0.2">
      <c r="J86">
        <v>820</v>
      </c>
      <c r="K86" s="4">
        <f t="shared" si="1"/>
        <v>225.82295549055067</v>
      </c>
    </row>
    <row r="87" spans="10:11" x14ac:dyDescent="0.2">
      <c r="J87">
        <v>830</v>
      </c>
      <c r="K87" s="4">
        <f t="shared" si="1"/>
        <v>226.46166508941948</v>
      </c>
    </row>
    <row r="88" spans="10:11" x14ac:dyDescent="0.2">
      <c r="J88">
        <v>840</v>
      </c>
      <c r="K88" s="4">
        <f t="shared" si="1"/>
        <v>227.03446244836411</v>
      </c>
    </row>
    <row r="89" spans="10:11" x14ac:dyDescent="0.2">
      <c r="J89">
        <v>850</v>
      </c>
      <c r="K89" s="4">
        <f t="shared" si="1"/>
        <v>227.54418019526759</v>
      </c>
    </row>
    <row r="90" spans="10:11" x14ac:dyDescent="0.2">
      <c r="J90">
        <v>860</v>
      </c>
      <c r="K90" s="4">
        <f t="shared" si="1"/>
        <v>227.99381447763594</v>
      </c>
    </row>
    <row r="91" spans="10:11" x14ac:dyDescent="0.2">
      <c r="J91">
        <v>870</v>
      </c>
      <c r="K91" s="4">
        <f t="shared" si="1"/>
        <v>228.38652106866854</v>
      </c>
    </row>
    <row r="92" spans="10:11" x14ac:dyDescent="0.2">
      <c r="J92">
        <v>880</v>
      </c>
      <c r="K92" s="4">
        <f t="shared" si="1"/>
        <v>228.72561082197316</v>
      </c>
    </row>
    <row r="93" spans="10:11" x14ac:dyDescent="0.2">
      <c r="J93">
        <v>890</v>
      </c>
      <c r="K93" s="4">
        <f t="shared" si="1"/>
        <v>229.01454442732077</v>
      </c>
    </row>
    <row r="94" spans="10:11" x14ac:dyDescent="0.2">
      <c r="J94">
        <v>900</v>
      </c>
      <c r="K94" s="4">
        <f t="shared" si="1"/>
        <v>229.25692641933833</v>
      </c>
    </row>
    <row r="95" spans="10:11" x14ac:dyDescent="0.2">
      <c r="J95">
        <v>910</v>
      </c>
      <c r="K95" s="4">
        <f t="shared" si="1"/>
        <v>229.45649839126267</v>
      </c>
    </row>
    <row r="96" spans="10:11" x14ac:dyDescent="0.2">
      <c r="J96">
        <v>920</v>
      </c>
      <c r="K96" s="4">
        <f t="shared" si="1"/>
        <v>229.61713136697318</v>
      </c>
    </row>
    <row r="97" spans="10:11" x14ac:dyDescent="0.2">
      <c r="J97">
        <v>930</v>
      </c>
      <c r="K97" s="4">
        <f t="shared" si="1"/>
        <v>229.74281728663837</v>
      </c>
    </row>
    <row r="98" spans="10:11" x14ac:dyDescent="0.2">
      <c r="J98">
        <v>940</v>
      </c>
      <c r="K98" s="4">
        <f t="shared" si="1"/>
        <v>229.83765956461403</v>
      </c>
    </row>
    <row r="99" spans="10:11" x14ac:dyDescent="0.2">
      <c r="J99">
        <v>950</v>
      </c>
      <c r="K99" s="4">
        <f t="shared" si="1"/>
        <v>229.90586268287237</v>
      </c>
    </row>
    <row r="100" spans="10:11" x14ac:dyDescent="0.2">
      <c r="J100">
        <v>960</v>
      </c>
      <c r="K100" s="4">
        <f t="shared" si="1"/>
        <v>229.95172078937884</v>
      </c>
    </row>
    <row r="101" spans="10:11" x14ac:dyDescent="0.2">
      <c r="J101">
        <v>970</v>
      </c>
      <c r="K101" s="4">
        <f t="shared" si="1"/>
        <v>229.97960527860067</v>
      </c>
    </row>
    <row r="102" spans="10:11" x14ac:dyDescent="0.2">
      <c r="J102">
        <v>980</v>
      </c>
      <c r="K102" s="4">
        <f t="shared" si="1"/>
        <v>229.99395134084136</v>
      </c>
    </row>
    <row r="103" spans="10:11" x14ac:dyDescent="0.2">
      <c r="J103">
        <v>990</v>
      </c>
      <c r="K103" s="4">
        <f t="shared" si="1"/>
        <v>229.99924347843162</v>
      </c>
    </row>
    <row r="104" spans="10:11" x14ac:dyDescent="0.2">
      <c r="J104">
        <v>1000</v>
      </c>
      <c r="K104" s="4">
        <f t="shared" si="1"/>
        <v>230</v>
      </c>
    </row>
  </sheetData>
  <mergeCells count="3">
    <mergeCell ref="A1:E1"/>
    <mergeCell ref="A2:E2"/>
    <mergeCell ref="A27:I30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BE0FB-F7E8-47AD-B80A-85DDC76FE3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kepler</dc:creator>
  <cp:lastModifiedBy>东升 舒</cp:lastModifiedBy>
  <dcterms:created xsi:type="dcterms:W3CDTF">2015-06-05T18:19:34Z</dcterms:created>
  <dcterms:modified xsi:type="dcterms:W3CDTF">2026-07-15T08:14:20Z</dcterms:modified>
</cp:coreProperties>
</file>